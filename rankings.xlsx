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Pliki\doktorat\ODDEA\ODDEA_index_analysis\"/>
    </mc:Choice>
  </mc:AlternateContent>
  <xr:revisionPtr revIDLastSave="0" documentId="13_ncr:1_{5412DEA7-5B6F-4CE9-839E-EC8924CA82B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ESI DII ranking" sheetId="3" r:id="rId1"/>
    <sheet name="ADII DII ranking" sheetId="2" r:id="rId2"/>
    <sheet name="Arkusz1" sheetId="1" r:id="rId3"/>
  </sheets>
  <definedNames>
    <definedName name="ExternalData_1" localSheetId="1" hidden="1">'ADII DII ranking'!$A$1:$F$14</definedName>
    <definedName name="ExternalData_2" localSheetId="0" hidden="1">'DESI DII ranking'!$A$1:$F$25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C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C390F0-AAF9-4C0C-B8E5-F9C972C4FFDF}" keepAlive="1" name="Zapytanie — ADII DII ranking" description="Połączenie z zapytaniem „ADII DII ranking” w skoroszycie." type="5" refreshedVersion="8" background="1" saveData="1">
    <dbPr connection="Provider=Microsoft.Mashup.OleDb.1;Data Source=$Workbook$;Location=&quot;ADII DII ranking&quot;;Extended Properties=&quot;&quot;" command="SELECT * FROM [ADII DII ranking]"/>
  </connection>
  <connection id="2" xr16:uid="{D33FE68C-34FC-45E0-B5CB-7B11D275A1B0}" keepAlive="1" name="Zapytanie — DESI DII ranking" description="Połączenie z zapytaniem „DESI DII ranking” w skoroszycie." type="5" refreshedVersion="8" background="1" saveData="1">
    <dbPr connection="Provider=Microsoft.Mashup.OleDb.1;Data Source=$Workbook$;Location=&quot;DESI DII ranking&quot;;Extended Properties=&quot;&quot;" command="SELECT * FROM [DESI DII ranking]"/>
  </connection>
</connections>
</file>

<file path=xl/sharedStrings.xml><?xml version="1.0" encoding="utf-8"?>
<sst xmlns="http://schemas.openxmlformats.org/spreadsheetml/2006/main" count="57" uniqueCount="45">
  <si>
    <t>Column1</t>
  </si>
  <si>
    <t>Entity</t>
  </si>
  <si>
    <t>DII</t>
  </si>
  <si>
    <t>ADII</t>
  </si>
  <si>
    <t>Rank_ADII</t>
  </si>
  <si>
    <t>Rank_DII</t>
  </si>
  <si>
    <t>Singapore</t>
  </si>
  <si>
    <t>South Korea</t>
  </si>
  <si>
    <t>New Zealand</t>
  </si>
  <si>
    <t>Australia</t>
  </si>
  <si>
    <t>Japan</t>
  </si>
  <si>
    <t>Malaysia</t>
  </si>
  <si>
    <t>China</t>
  </si>
  <si>
    <t>Thailand</t>
  </si>
  <si>
    <t>Indonesia</t>
  </si>
  <si>
    <t>Vietnam</t>
  </si>
  <si>
    <t>Philippines</t>
  </si>
  <si>
    <t>Cambodia</t>
  </si>
  <si>
    <t>Laos</t>
  </si>
  <si>
    <t>DESI</t>
  </si>
  <si>
    <t>Rank_DESI</t>
  </si>
  <si>
    <t>Finland</t>
  </si>
  <si>
    <t>Denmark</t>
  </si>
  <si>
    <t>Netherlands</t>
  </si>
  <si>
    <t>Sweden</t>
  </si>
  <si>
    <t>Ireland</t>
  </si>
  <si>
    <t>Germany</t>
  </si>
  <si>
    <t>Estonia</t>
  </si>
  <si>
    <t>Austria</t>
  </si>
  <si>
    <t>Belgium</t>
  </si>
  <si>
    <t>France</t>
  </si>
  <si>
    <t>Czechia</t>
  </si>
  <si>
    <t>Lithuania</t>
  </si>
  <si>
    <t>Slovenia</t>
  </si>
  <si>
    <t>Spain</t>
  </si>
  <si>
    <t>Portugal</t>
  </si>
  <si>
    <t>Latvia</t>
  </si>
  <si>
    <t>Poland</t>
  </si>
  <si>
    <t>Slovakia</t>
  </si>
  <si>
    <t>Italy</t>
  </si>
  <si>
    <t>Hungary</t>
  </si>
  <si>
    <t>Bulgaria</t>
  </si>
  <si>
    <t>Croatia</t>
  </si>
  <si>
    <t>Greece</t>
  </si>
  <si>
    <t>Romania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</si>
</sst>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0919E03-244B-42A1-9D39-A045951AD96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Entity" tableColumnId="2"/>
      <queryTableField id="3" name="DII" tableColumnId="3"/>
      <queryTableField id="4" name="DESI" tableColumnId="4"/>
      <queryTableField id="5" name="Rank_DESI" tableColumnId="5"/>
      <queryTableField id="6" name="Rank_DII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77B14B-D1CE-498F-8489-21D445F8FA6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Entity" tableColumnId="2"/>
      <queryTableField id="3" name="DII" tableColumnId="3"/>
      <queryTableField id="4" name="ADII" tableColumnId="4"/>
      <queryTableField id="5" name="Rank_ADII" tableColumnId="5"/>
      <queryTableField id="6" name="Rank_DII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AE7811-9A22-46C6-A8AD-5CDF09A7FBCA}" name="Tabela_DESI_DII_ranking" displayName="Tabela_DESI_DII_ranking" ref="A1:F26" tableType="queryTable" totalsRowCount="1">
  <autoFilter ref="A1:F25" xr:uid="{80AE7811-9A22-46C6-A8AD-5CDF09A7FBCA}"/>
  <tableColumns count="6">
    <tableColumn id="1" xr3:uid="{E61B60D4-E15D-4196-B58D-756EF3F3B029}" uniqueName="1" name="Column1" queryTableFieldId="1"/>
    <tableColumn id="2" xr3:uid="{3AB0E5F0-9E44-465A-BC4F-FB5DFB08E574}" uniqueName="2" name="Entity" queryTableFieldId="2" dataDxfId="11" totalsRowDxfId="8"/>
    <tableColumn id="3" xr3:uid="{631B032B-333F-41F5-A352-CBA5ACAFEE91}" uniqueName="3" name="DII" totalsRowFunction="custom" queryTableFieldId="3" dataDxfId="10" totalsRowDxfId="7">
      <totalsRowFormula>AVERAGE(Tabela_DESI_DII_ranking[DII])</totalsRowFormula>
    </tableColumn>
    <tableColumn id="4" xr3:uid="{B7C1589C-9911-452D-8502-C9ED8BA3054C}" uniqueName="4" name="DESI" queryTableFieldId="4" dataDxfId="9" totalsRowDxfId="6"/>
    <tableColumn id="5" xr3:uid="{CB1070BD-BA8C-404D-96A2-9237DEDA8CD4}" uniqueName="5" name="Rank_DESI" queryTableFieldId="5"/>
    <tableColumn id="6" xr3:uid="{7A2007F3-4120-4CC2-A186-B472ABC7756E}" uniqueName="6" name="Rank_DII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0EEB09-64FF-441A-895D-1C583D806ED9}" name="Tabela_ADII_DII_ranking" displayName="Tabela_ADII_DII_ranking" ref="A1:F15" tableType="queryTable" totalsRowCount="1">
  <autoFilter ref="A1:F14" xr:uid="{2D0EEB09-64FF-441A-895D-1C583D806ED9}"/>
  <tableColumns count="6">
    <tableColumn id="1" xr3:uid="{C587AD32-5DE7-4731-8F09-BB3783104A7C}" uniqueName="1" name="Column1" queryTableFieldId="1"/>
    <tableColumn id="2" xr3:uid="{0BDF18A2-6F0D-4005-93B6-2F7223CA4F7F}" uniqueName="2" name="Entity" queryTableFieldId="2" dataDxfId="4" totalsRowDxfId="5"/>
    <tableColumn id="3" xr3:uid="{C661451F-2B7C-49ED-93F3-52ED6BB2DA18}" uniqueName="3" name="DII" totalsRowFunction="custom" queryTableFieldId="3" dataDxfId="2" totalsRowDxfId="3">
      <totalsRowFormula>AVERAGE(Tabela_ADII_DII_ranking[DII])</totalsRowFormula>
    </tableColumn>
    <tableColumn id="4" xr3:uid="{F2A00A9E-AD42-4A16-B2F4-A3B5C292F80B}" uniqueName="4" name="ADII" queryTableFieldId="4" dataDxfId="0" totalsRowDxfId="1"/>
    <tableColumn id="5" xr3:uid="{8DDBC799-0B2F-4E90-A70B-D5DB4E36A4E2}" uniqueName="5" name="Rank_ADII" queryTableFieldId="5"/>
    <tableColumn id="6" xr3:uid="{FA62DBD9-5AA3-4EFB-A229-5D8EB33A53BD}" uniqueName="6" name="Rank_DII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250F-11BA-4F45-BC2D-93CC39A9B7CF}">
  <dimension ref="A1:F26"/>
  <sheetViews>
    <sheetView workbookViewId="0">
      <selection activeCell="C27" sqref="C27"/>
    </sheetView>
  </sheetViews>
  <sheetFormatPr defaultRowHeight="14.4" x14ac:dyDescent="0.3"/>
  <cols>
    <col min="1" max="1" width="10.77734375" bestFit="1" customWidth="1"/>
    <col min="2" max="2" width="10.88671875" bestFit="1" customWidth="1"/>
    <col min="3" max="3" width="5.5546875" bestFit="1" customWidth="1"/>
    <col min="4" max="4" width="11.5546875" bestFit="1" customWidth="1"/>
    <col min="5" max="5" width="12.21875" bestFit="1" customWidth="1"/>
    <col min="6" max="6" width="10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19</v>
      </c>
      <c r="E1" t="s">
        <v>20</v>
      </c>
      <c r="F1" t="s">
        <v>5</v>
      </c>
    </row>
    <row r="2" spans="1:6" x14ac:dyDescent="0.3">
      <c r="A2">
        <v>1</v>
      </c>
      <c r="B2" s="1" t="s">
        <v>21</v>
      </c>
      <c r="C2" s="1">
        <v>87.3</v>
      </c>
      <c r="D2" s="1">
        <v>0.135355425</v>
      </c>
      <c r="E2">
        <v>1</v>
      </c>
      <c r="F2">
        <v>1</v>
      </c>
    </row>
    <row r="3" spans="1:6" x14ac:dyDescent="0.3">
      <c r="A3">
        <v>2</v>
      </c>
      <c r="B3" s="1" t="s">
        <v>22</v>
      </c>
      <c r="C3" s="1">
        <v>87.17</v>
      </c>
      <c r="D3" s="1">
        <v>0.13012799999999999</v>
      </c>
      <c r="E3">
        <v>2</v>
      </c>
      <c r="F3">
        <v>2</v>
      </c>
    </row>
    <row r="4" spans="1:6" x14ac:dyDescent="0.3">
      <c r="A4">
        <v>3</v>
      </c>
      <c r="B4" s="1" t="s">
        <v>23</v>
      </c>
      <c r="C4" s="1">
        <v>85.48</v>
      </c>
      <c r="D4" s="1">
        <v>0.12630587500000001</v>
      </c>
      <c r="E4">
        <v>4</v>
      </c>
      <c r="F4">
        <v>3</v>
      </c>
    </row>
    <row r="5" spans="1:6" x14ac:dyDescent="0.3">
      <c r="A5">
        <v>4</v>
      </c>
      <c r="B5" s="1" t="s">
        <v>24</v>
      </c>
      <c r="C5" s="1">
        <v>85.07</v>
      </c>
      <c r="D5" s="1">
        <v>0.12990835000000001</v>
      </c>
      <c r="E5">
        <v>3</v>
      </c>
      <c r="F5">
        <v>4</v>
      </c>
    </row>
    <row r="6" spans="1:6" x14ac:dyDescent="0.3">
      <c r="A6">
        <v>5</v>
      </c>
      <c r="B6" s="1" t="s">
        <v>25</v>
      </c>
      <c r="C6" s="1">
        <v>82.32</v>
      </c>
      <c r="D6" s="1">
        <v>0.11674325000000001</v>
      </c>
      <c r="E6">
        <v>6</v>
      </c>
      <c r="F6">
        <v>5</v>
      </c>
    </row>
    <row r="7" spans="1:6" x14ac:dyDescent="0.3">
      <c r="A7">
        <v>6</v>
      </c>
      <c r="B7" s="1" t="s">
        <v>26</v>
      </c>
      <c r="C7" s="1">
        <v>79.27</v>
      </c>
      <c r="D7" s="1">
        <v>9.5873125000000003E-2</v>
      </c>
      <c r="E7">
        <v>15</v>
      </c>
      <c r="F7">
        <v>6</v>
      </c>
    </row>
    <row r="8" spans="1:6" x14ac:dyDescent="0.3">
      <c r="A8">
        <v>7</v>
      </c>
      <c r="B8" s="1" t="s">
        <v>27</v>
      </c>
      <c r="C8" s="1">
        <v>76.66</v>
      </c>
      <c r="D8" s="1">
        <v>0.116433275</v>
      </c>
      <c r="E8">
        <v>7</v>
      </c>
      <c r="F8">
        <v>7</v>
      </c>
    </row>
    <row r="9" spans="1:6" x14ac:dyDescent="0.3">
      <c r="A9">
        <v>8</v>
      </c>
      <c r="B9" s="1" t="s">
        <v>28</v>
      </c>
      <c r="C9" s="1">
        <v>75.42</v>
      </c>
      <c r="D9" s="1">
        <v>0.103048525</v>
      </c>
      <c r="E9">
        <v>9</v>
      </c>
      <c r="F9">
        <v>8</v>
      </c>
    </row>
    <row r="10" spans="1:6" x14ac:dyDescent="0.3">
      <c r="A10">
        <v>9</v>
      </c>
      <c r="B10" s="1" t="s">
        <v>29</v>
      </c>
      <c r="C10" s="1">
        <v>74.510000000000005</v>
      </c>
      <c r="D10" s="1">
        <v>0.10000782499999999</v>
      </c>
      <c r="E10">
        <v>13</v>
      </c>
      <c r="F10">
        <v>9</v>
      </c>
    </row>
    <row r="11" spans="1:6" x14ac:dyDescent="0.3">
      <c r="A11">
        <v>10</v>
      </c>
      <c r="B11" s="1" t="s">
        <v>30</v>
      </c>
      <c r="C11" s="1">
        <v>72.989999999999995</v>
      </c>
      <c r="D11" s="1">
        <v>9.8660999999999999E-2</v>
      </c>
      <c r="E11">
        <v>14</v>
      </c>
      <c r="F11">
        <v>10</v>
      </c>
    </row>
    <row r="12" spans="1:6" x14ac:dyDescent="0.3">
      <c r="A12">
        <v>11</v>
      </c>
      <c r="B12" s="1" t="s">
        <v>31</v>
      </c>
      <c r="C12" s="1">
        <v>68.680000000000007</v>
      </c>
      <c r="D12" s="1">
        <v>9.2966099999999996E-2</v>
      </c>
      <c r="E12">
        <v>16</v>
      </c>
      <c r="F12">
        <v>11</v>
      </c>
    </row>
    <row r="13" spans="1:6" x14ac:dyDescent="0.3">
      <c r="A13">
        <v>12</v>
      </c>
      <c r="B13" s="1" t="s">
        <v>32</v>
      </c>
      <c r="C13" s="1">
        <v>68.02</v>
      </c>
      <c r="D13" s="1">
        <v>0.1054776</v>
      </c>
      <c r="E13">
        <v>8</v>
      </c>
      <c r="F13">
        <v>12</v>
      </c>
    </row>
    <row r="14" spans="1:6" x14ac:dyDescent="0.3">
      <c r="A14">
        <v>13</v>
      </c>
      <c r="B14" s="1" t="s">
        <v>33</v>
      </c>
      <c r="C14" s="1">
        <v>67.349999999999994</v>
      </c>
      <c r="D14" s="1">
        <v>0.10221545</v>
      </c>
      <c r="E14">
        <v>11</v>
      </c>
      <c r="F14">
        <v>13</v>
      </c>
    </row>
    <row r="15" spans="1:6" x14ac:dyDescent="0.3">
      <c r="A15">
        <v>14</v>
      </c>
      <c r="B15" s="1" t="s">
        <v>34</v>
      </c>
      <c r="C15" s="1">
        <v>66.95</v>
      </c>
      <c r="D15" s="1">
        <v>0.11759219999999999</v>
      </c>
      <c r="E15">
        <v>5</v>
      </c>
      <c r="F15">
        <v>14</v>
      </c>
    </row>
    <row r="16" spans="1:6" x14ac:dyDescent="0.3">
      <c r="A16">
        <v>15</v>
      </c>
      <c r="B16" s="1" t="s">
        <v>35</v>
      </c>
      <c r="C16" s="1">
        <v>65.75</v>
      </c>
      <c r="D16" s="1">
        <v>0.100780525</v>
      </c>
      <c r="E16">
        <v>12</v>
      </c>
      <c r="F16">
        <v>15</v>
      </c>
    </row>
    <row r="17" spans="1:6" x14ac:dyDescent="0.3">
      <c r="A17">
        <v>16</v>
      </c>
      <c r="B17" s="1" t="s">
        <v>36</v>
      </c>
      <c r="C17" s="1">
        <v>65.06</v>
      </c>
      <c r="D17" s="1">
        <v>0.10245955</v>
      </c>
      <c r="E17">
        <v>10</v>
      </c>
      <c r="F17">
        <v>16</v>
      </c>
    </row>
    <row r="18" spans="1:6" x14ac:dyDescent="0.3">
      <c r="A18">
        <v>17</v>
      </c>
      <c r="B18" s="1" t="s">
        <v>37</v>
      </c>
      <c r="C18" s="1">
        <v>63.58</v>
      </c>
      <c r="D18" s="1">
        <v>7.4442350000000004E-2</v>
      </c>
      <c r="E18">
        <v>21</v>
      </c>
      <c r="F18">
        <v>17</v>
      </c>
    </row>
    <row r="19" spans="1:6" x14ac:dyDescent="0.3">
      <c r="A19">
        <v>18</v>
      </c>
      <c r="B19" s="1" t="s">
        <v>38</v>
      </c>
      <c r="C19" s="1">
        <v>63.01</v>
      </c>
      <c r="D19" s="1">
        <v>8.3130350000000006E-2</v>
      </c>
      <c r="E19">
        <v>19</v>
      </c>
      <c r="F19">
        <v>18</v>
      </c>
    </row>
    <row r="20" spans="1:6" x14ac:dyDescent="0.3">
      <c r="A20">
        <v>19</v>
      </c>
      <c r="B20" s="1" t="s">
        <v>39</v>
      </c>
      <c r="C20" s="1">
        <v>61.27</v>
      </c>
      <c r="D20" s="1">
        <v>8.5857849999999999E-2</v>
      </c>
      <c r="E20">
        <v>18</v>
      </c>
      <c r="F20">
        <v>19</v>
      </c>
    </row>
    <row r="21" spans="1:6" x14ac:dyDescent="0.3">
      <c r="A21">
        <v>20</v>
      </c>
      <c r="B21" s="1" t="s">
        <v>40</v>
      </c>
      <c r="C21" s="1">
        <v>57.75</v>
      </c>
      <c r="D21" s="1">
        <v>8.0460075000000006E-2</v>
      </c>
      <c r="E21">
        <v>20</v>
      </c>
      <c r="F21">
        <v>20</v>
      </c>
    </row>
    <row r="22" spans="1:6" x14ac:dyDescent="0.3">
      <c r="A22">
        <v>21</v>
      </c>
      <c r="B22" s="1" t="s">
        <v>41</v>
      </c>
      <c r="C22" s="1">
        <v>57.14</v>
      </c>
      <c r="D22" s="1">
        <v>7.0111499999999993E-2</v>
      </c>
      <c r="E22">
        <v>22</v>
      </c>
      <c r="F22">
        <v>21</v>
      </c>
    </row>
    <row r="23" spans="1:6" x14ac:dyDescent="0.3">
      <c r="A23">
        <v>22</v>
      </c>
      <c r="B23" s="1" t="s">
        <v>42</v>
      </c>
      <c r="C23" s="1">
        <v>56.6</v>
      </c>
      <c r="D23" s="1">
        <v>8.7653350000000005E-2</v>
      </c>
      <c r="E23">
        <v>17</v>
      </c>
      <c r="F23">
        <v>22</v>
      </c>
    </row>
    <row r="24" spans="1:6" x14ac:dyDescent="0.3">
      <c r="A24">
        <v>23</v>
      </c>
      <c r="B24" s="1" t="s">
        <v>43</v>
      </c>
      <c r="C24" s="1">
        <v>56.54</v>
      </c>
      <c r="D24" s="1">
        <v>6.3814999999999997E-2</v>
      </c>
      <c r="E24">
        <v>23</v>
      </c>
      <c r="F24">
        <v>23</v>
      </c>
    </row>
    <row r="25" spans="1:6" x14ac:dyDescent="0.3">
      <c r="A25">
        <v>24</v>
      </c>
      <c r="B25" s="1" t="s">
        <v>44</v>
      </c>
      <c r="C25" s="1">
        <v>54.06</v>
      </c>
      <c r="D25" s="1">
        <v>5.5912725000000003E-2</v>
      </c>
      <c r="E25">
        <v>24</v>
      </c>
      <c r="F25">
        <v>24</v>
      </c>
    </row>
    <row r="26" spans="1:6" x14ac:dyDescent="0.3">
      <c r="B26" s="1"/>
      <c r="C26" s="1">
        <f>AVERAGE(Tabela_DESI_DII_ranking[DII])</f>
        <v>69.914583333333312</v>
      </c>
      <c r="D2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3078-4C0F-481E-A500-2E6B6AADDFB5}">
  <dimension ref="A1:I15"/>
  <sheetViews>
    <sheetView tabSelected="1" workbookViewId="0">
      <selection activeCell="I16" sqref="I16"/>
    </sheetView>
  </sheetViews>
  <sheetFormatPr defaultRowHeight="14.4" x14ac:dyDescent="0.3"/>
  <cols>
    <col min="1" max="1" width="10.77734375" bestFit="1" customWidth="1"/>
    <col min="2" max="2" width="11.5546875" bestFit="1" customWidth="1"/>
    <col min="3" max="3" width="5.5546875" bestFit="1" customWidth="1"/>
    <col min="4" max="4" width="16.6640625" bestFit="1" customWidth="1"/>
    <col min="5" max="5" width="12" bestFit="1" customWidth="1"/>
    <col min="6" max="6" width="10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3">
      <c r="A2">
        <v>1</v>
      </c>
      <c r="B2" s="1" t="s">
        <v>6</v>
      </c>
      <c r="C2" s="1">
        <v>98.82</v>
      </c>
      <c r="D2" s="1">
        <v>80.694999999999993</v>
      </c>
      <c r="E2">
        <v>1</v>
      </c>
      <c r="F2">
        <v>1</v>
      </c>
      <c r="H2" t="s">
        <v>6</v>
      </c>
      <c r="I2">
        <v>98.82</v>
      </c>
    </row>
    <row r="3" spans="1:9" x14ac:dyDescent="0.3">
      <c r="A3">
        <v>2</v>
      </c>
      <c r="B3" s="1" t="s">
        <v>7</v>
      </c>
      <c r="C3" s="1">
        <v>83.09</v>
      </c>
      <c r="D3" s="1">
        <v>75.733333333333306</v>
      </c>
      <c r="E3">
        <v>3</v>
      </c>
      <c r="F3">
        <v>2</v>
      </c>
      <c r="H3" t="s">
        <v>11</v>
      </c>
      <c r="I3">
        <v>69.03</v>
      </c>
    </row>
    <row r="4" spans="1:9" x14ac:dyDescent="0.3">
      <c r="A4">
        <v>3</v>
      </c>
      <c r="B4" s="1" t="s">
        <v>8</v>
      </c>
      <c r="C4" s="1">
        <v>80.459999999999994</v>
      </c>
      <c r="D4" s="1">
        <v>75.62</v>
      </c>
      <c r="E4">
        <v>4</v>
      </c>
      <c r="F4">
        <v>3</v>
      </c>
      <c r="H4" t="s">
        <v>13</v>
      </c>
      <c r="I4">
        <v>53.04</v>
      </c>
    </row>
    <row r="5" spans="1:9" x14ac:dyDescent="0.3">
      <c r="A5">
        <v>4</v>
      </c>
      <c r="B5" s="1" t="s">
        <v>9</v>
      </c>
      <c r="C5" s="1">
        <v>80.09</v>
      </c>
      <c r="D5" s="1">
        <v>74.941666666666706</v>
      </c>
      <c r="E5">
        <v>5</v>
      </c>
      <c r="F5">
        <v>4</v>
      </c>
      <c r="H5" t="s">
        <v>14</v>
      </c>
      <c r="I5">
        <v>47.72</v>
      </c>
    </row>
    <row r="6" spans="1:9" x14ac:dyDescent="0.3">
      <c r="A6">
        <v>5</v>
      </c>
      <c r="B6" s="1" t="s">
        <v>10</v>
      </c>
      <c r="C6" s="1">
        <v>77.760000000000005</v>
      </c>
      <c r="D6" s="1">
        <v>76.508333333333297</v>
      </c>
      <c r="E6">
        <v>2</v>
      </c>
      <c r="F6">
        <v>5</v>
      </c>
      <c r="H6" t="s">
        <v>15</v>
      </c>
      <c r="I6">
        <v>46.79</v>
      </c>
    </row>
    <row r="7" spans="1:9" x14ac:dyDescent="0.3">
      <c r="A7">
        <v>6</v>
      </c>
      <c r="B7" s="1" t="s">
        <v>11</v>
      </c>
      <c r="C7" s="1">
        <v>69.03</v>
      </c>
      <c r="D7" s="1">
        <v>72.844999999999999</v>
      </c>
      <c r="E7">
        <v>6</v>
      </c>
      <c r="F7">
        <v>6</v>
      </c>
      <c r="H7" t="s">
        <v>16</v>
      </c>
      <c r="I7">
        <v>44.29</v>
      </c>
    </row>
    <row r="8" spans="1:9" x14ac:dyDescent="0.3">
      <c r="A8">
        <v>7</v>
      </c>
      <c r="B8" s="1" t="s">
        <v>12</v>
      </c>
      <c r="C8" s="1">
        <v>61.89</v>
      </c>
      <c r="D8" s="1">
        <v>70.6816666666667</v>
      </c>
      <c r="E8">
        <v>7</v>
      </c>
      <c r="F8">
        <v>7</v>
      </c>
      <c r="H8" t="s">
        <v>17</v>
      </c>
      <c r="I8">
        <v>32.31</v>
      </c>
    </row>
    <row r="9" spans="1:9" x14ac:dyDescent="0.3">
      <c r="A9">
        <v>8</v>
      </c>
      <c r="B9" s="1" t="s">
        <v>13</v>
      </c>
      <c r="C9" s="1">
        <v>53.04</v>
      </c>
      <c r="D9" s="1">
        <v>67.239999999999995</v>
      </c>
      <c r="E9">
        <v>8</v>
      </c>
      <c r="F9">
        <v>8</v>
      </c>
      <c r="H9" t="s">
        <v>18</v>
      </c>
      <c r="I9">
        <v>32.14</v>
      </c>
    </row>
    <row r="10" spans="1:9" x14ac:dyDescent="0.3">
      <c r="A10">
        <v>9</v>
      </c>
      <c r="B10" s="1" t="s">
        <v>14</v>
      </c>
      <c r="C10" s="1">
        <v>47.72</v>
      </c>
      <c r="D10" s="1">
        <v>57.453333333333298</v>
      </c>
      <c r="E10">
        <v>9</v>
      </c>
      <c r="F10">
        <v>9</v>
      </c>
    </row>
    <row r="11" spans="1:9" x14ac:dyDescent="0.3">
      <c r="A11">
        <v>10</v>
      </c>
      <c r="B11" s="1" t="s">
        <v>15</v>
      </c>
      <c r="C11" s="1">
        <v>46.79</v>
      </c>
      <c r="D11" s="1">
        <v>57.255000000000003</v>
      </c>
      <c r="E11">
        <v>10</v>
      </c>
      <c r="F11">
        <v>10</v>
      </c>
    </row>
    <row r="12" spans="1:9" x14ac:dyDescent="0.3">
      <c r="A12">
        <v>11</v>
      </c>
      <c r="B12" s="1" t="s">
        <v>16</v>
      </c>
      <c r="C12" s="1">
        <v>44.29</v>
      </c>
      <c r="D12" s="1">
        <v>53.99</v>
      </c>
      <c r="E12">
        <v>11</v>
      </c>
      <c r="F12">
        <v>11</v>
      </c>
    </row>
    <row r="13" spans="1:9" x14ac:dyDescent="0.3">
      <c r="A13">
        <v>12</v>
      </c>
      <c r="B13" s="1" t="s">
        <v>17</v>
      </c>
      <c r="C13" s="1">
        <v>32.31</v>
      </c>
      <c r="D13" s="1">
        <v>37.598333333333301</v>
      </c>
      <c r="E13">
        <v>12</v>
      </c>
      <c r="F13">
        <v>12</v>
      </c>
    </row>
    <row r="14" spans="1:9" x14ac:dyDescent="0.3">
      <c r="A14">
        <v>13</v>
      </c>
      <c r="B14" s="1" t="s">
        <v>18</v>
      </c>
      <c r="C14" s="1">
        <v>32.14</v>
      </c>
      <c r="D14" s="1">
        <v>36.566666666666698</v>
      </c>
      <c r="E14">
        <v>13</v>
      </c>
      <c r="F14">
        <v>13</v>
      </c>
    </row>
    <row r="15" spans="1:9" x14ac:dyDescent="0.3">
      <c r="B15" s="1"/>
      <c r="C15" s="1">
        <f>AVERAGE(Tabela_ADII_DII_ranking[DII])</f>
        <v>62.11</v>
      </c>
      <c r="D15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F9D546-E6CF-4885-BA2B-5ACDEE166F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DESI DII ranking</vt:lpstr>
      <vt:lpstr>ADII DII ranking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Choczyńska</dc:creator>
  <cp:lastModifiedBy>Agnieszka Choczyńska</cp:lastModifiedBy>
  <dcterms:created xsi:type="dcterms:W3CDTF">2015-06-05T18:19:34Z</dcterms:created>
  <dcterms:modified xsi:type="dcterms:W3CDTF">2023-05-19T16:40:11Z</dcterms:modified>
</cp:coreProperties>
</file>